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USINESS ANLYTICS\EXCEL\"/>
    </mc:Choice>
  </mc:AlternateContent>
  <xr:revisionPtr revIDLastSave="0" documentId="13_ncr:1_{2BA30001-4A82-4D63-B87D-541871BE622C}" xr6:coauthVersionLast="45" xr6:coauthVersionMax="45" xr10:uidLastSave="{00000000-0000-0000-0000-000000000000}"/>
  <bookViews>
    <workbookView xWindow="-108" yWindow="-108" windowWidth="23256" windowHeight="12720" activeTab="1" xr2:uid="{286E329F-D4EA-4D03-8B0C-C6E41672DE15}"/>
  </bookViews>
  <sheets>
    <sheet name="Helper" sheetId="1" r:id="rId1"/>
    <sheet name="Attendance" sheetId="2" r:id="rId2"/>
  </sheets>
  <definedNames>
    <definedName name="Holiday">Helper!$D$2:$D$19</definedName>
    <definedName name="Holidays">Helper!$D$2:$D$19</definedName>
    <definedName name="Months">Helper!$A$2:$A$13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J2" i="2" s="1"/>
  <c r="R1" i="2" l="1"/>
  <c r="C6" i="2"/>
  <c r="D6" i="2" s="1"/>
  <c r="E6" i="2" l="1"/>
  <c r="D4" i="2"/>
  <c r="D5" i="2"/>
  <c r="C5" i="2"/>
  <c r="C4" i="2"/>
  <c r="F6" i="2" l="1"/>
  <c r="E5" i="2"/>
  <c r="E4" i="2"/>
  <c r="G6" i="2" l="1"/>
  <c r="F5" i="2"/>
  <c r="F4" i="2"/>
  <c r="H6" i="2" l="1"/>
  <c r="G5" i="2"/>
  <c r="G4" i="2"/>
  <c r="I6" i="2" l="1"/>
  <c r="H5" i="2"/>
  <c r="H4" i="2"/>
  <c r="J6" i="2" l="1"/>
  <c r="I4" i="2"/>
  <c r="I5" i="2"/>
  <c r="K6" i="2" l="1"/>
  <c r="J5" i="2"/>
  <c r="J4" i="2"/>
  <c r="L6" i="2" l="1"/>
  <c r="K4" i="2"/>
  <c r="K5" i="2"/>
  <c r="M6" i="2" l="1"/>
  <c r="L5" i="2"/>
  <c r="L4" i="2"/>
  <c r="N6" i="2" l="1"/>
  <c r="M4" i="2"/>
  <c r="M5" i="2"/>
  <c r="O6" i="2" l="1"/>
  <c r="N5" i="2"/>
  <c r="N4" i="2"/>
  <c r="P6" i="2" l="1"/>
  <c r="O5" i="2"/>
  <c r="O4" i="2"/>
  <c r="Q6" i="2" l="1"/>
  <c r="P4" i="2"/>
  <c r="P5" i="2"/>
  <c r="R6" i="2" l="1"/>
  <c r="Q4" i="2"/>
  <c r="Q5" i="2"/>
  <c r="S6" i="2" l="1"/>
  <c r="R5" i="2"/>
  <c r="R4" i="2"/>
  <c r="T6" i="2" l="1"/>
  <c r="S5" i="2"/>
  <c r="S4" i="2"/>
  <c r="U6" i="2" l="1"/>
  <c r="T5" i="2"/>
  <c r="T4" i="2"/>
  <c r="V6" i="2" l="1"/>
  <c r="U4" i="2"/>
  <c r="U5" i="2"/>
  <c r="W6" i="2" l="1"/>
  <c r="V5" i="2"/>
  <c r="V4" i="2"/>
  <c r="X6" i="2" l="1"/>
  <c r="W4" i="2"/>
  <c r="W5" i="2"/>
  <c r="Y6" i="2" l="1"/>
  <c r="X5" i="2"/>
  <c r="X4" i="2"/>
  <c r="Z6" i="2" l="1"/>
  <c r="Y4" i="2"/>
  <c r="Y5" i="2"/>
  <c r="AA6" i="2" l="1"/>
  <c r="Z5" i="2"/>
  <c r="Z4" i="2"/>
  <c r="AI10" i="2" l="1"/>
  <c r="AI14" i="2"/>
  <c r="AI18" i="2"/>
  <c r="AI11" i="2"/>
  <c r="AI15" i="2"/>
  <c r="AI7" i="2"/>
  <c r="AI8" i="2"/>
  <c r="AI12" i="2"/>
  <c r="AI16" i="2"/>
  <c r="AI9" i="2"/>
  <c r="AI13" i="2"/>
  <c r="AI17" i="2"/>
  <c r="AB6" i="2"/>
  <c r="AA5" i="2"/>
  <c r="AA4" i="2"/>
  <c r="AJ10" i="2" l="1"/>
  <c r="AJ14" i="2"/>
  <c r="AJ18" i="2"/>
  <c r="AJ11" i="2"/>
  <c r="AJ15" i="2"/>
  <c r="AJ7" i="2"/>
  <c r="AJ8" i="2"/>
  <c r="AJ12" i="2"/>
  <c r="AJ16" i="2"/>
  <c r="AJ13" i="2"/>
  <c r="AJ17" i="2"/>
  <c r="AC6" i="2"/>
  <c r="AB5" i="2"/>
  <c r="AB4" i="2"/>
  <c r="AD6" i="2" l="1"/>
  <c r="AC4" i="2"/>
  <c r="AC5" i="2"/>
  <c r="AE6" i="2" l="1"/>
  <c r="AD5" i="2"/>
  <c r="AD4" i="2"/>
  <c r="AF6" i="2" l="1"/>
  <c r="AE4" i="2"/>
  <c r="AJ9" i="2" s="1"/>
  <c r="AE5" i="2"/>
  <c r="AG6" i="2" l="1"/>
  <c r="AF5" i="2"/>
  <c r="AF4" i="2"/>
  <c r="AG4" i="2" l="1"/>
  <c r="AH13" i="2" s="1"/>
  <c r="AG5" i="2"/>
  <c r="AK16" i="2" l="1"/>
  <c r="AM16" i="2" s="1"/>
  <c r="AK10" i="2"/>
  <c r="AM10" i="2" s="1"/>
  <c r="AH7" i="2"/>
  <c r="AK14" i="2"/>
  <c r="AM14" i="2" s="1"/>
  <c r="AK17" i="2"/>
  <c r="AM17" i="2" s="1"/>
  <c r="AK13" i="2"/>
  <c r="AM13" i="2" s="1"/>
  <c r="AK9" i="2"/>
  <c r="AM9" i="2" s="1"/>
  <c r="AK11" i="2"/>
  <c r="AM11" i="2" s="1"/>
  <c r="AK18" i="2"/>
  <c r="AM18" i="2" s="1"/>
  <c r="AK15" i="2"/>
  <c r="AM15" i="2" s="1"/>
  <c r="AH15" i="2"/>
  <c r="AK8" i="2"/>
  <c r="AM8" i="2" s="1"/>
  <c r="AK7" i="2"/>
  <c r="AM7" i="2" s="1"/>
  <c r="AK12" i="2"/>
  <c r="AM12" i="2" s="1"/>
  <c r="AH17" i="2"/>
  <c r="AL17" i="2" s="1"/>
  <c r="AH12" i="2"/>
  <c r="AH10" i="2"/>
  <c r="AH16" i="2"/>
  <c r="AL16" i="2" s="1"/>
  <c r="AH11" i="2"/>
  <c r="AH9" i="2"/>
  <c r="AH18" i="2"/>
  <c r="AL18" i="2" s="1"/>
  <c r="AH14" i="2"/>
  <c r="AH8" i="2"/>
  <c r="AL8" i="2" l="1"/>
  <c r="AL11" i="2"/>
  <c r="AL14" i="2"/>
  <c r="AL10" i="2"/>
  <c r="AL12" i="2"/>
  <c r="AL15" i="2"/>
  <c r="AL7" i="2"/>
  <c r="AL9" i="2"/>
  <c r="AL13" i="2"/>
</calcChain>
</file>

<file path=xl/sharedStrings.xml><?xml version="1.0" encoding="utf-8"?>
<sst xmlns="http://schemas.openxmlformats.org/spreadsheetml/2006/main" count="345" uniqueCount="65">
  <si>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</si>
  <si>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</si>
  <si>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</si>
  <si>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</si>
  <si>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</si>
  <si>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</si>
  <si>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</si>
  <si>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</si>
  <si>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</si>
  <si>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</si>
  <si>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</si>
  <si>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</si>
  <si>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</si>
  <si>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Holidays</t>
  </si>
  <si>
    <t>New Yeasr's Day</t>
  </si>
  <si>
    <t>Makar Sankranti</t>
  </si>
  <si>
    <t>Guru Ravida's Bday</t>
  </si>
  <si>
    <t>Ram Navami</t>
  </si>
  <si>
    <t>Rabindranath's Birthday</t>
  </si>
  <si>
    <t>Rath Yatra</t>
  </si>
  <si>
    <t>Raksha Bandhan</t>
  </si>
  <si>
    <t>Jamat-Ul-Vida</t>
  </si>
  <si>
    <t>Dussehra (Maha saptami)</t>
  </si>
  <si>
    <t>Dussehra (Maha Astami)</t>
  </si>
  <si>
    <t>Dussehra (Maha Navmi)</t>
  </si>
  <si>
    <t>Bhai Duj</t>
  </si>
  <si>
    <t>Chat Puja</t>
  </si>
  <si>
    <t>Vasnt Panchami</t>
  </si>
  <si>
    <t>Shivaji Jayanti</t>
  </si>
  <si>
    <t>Holika Dahan</t>
  </si>
  <si>
    <t>Chaitra Sukhladi</t>
  </si>
  <si>
    <t>Christmas</t>
  </si>
  <si>
    <t>Date</t>
  </si>
  <si>
    <t>Attendance for the month of</t>
  </si>
  <si>
    <t>Start Date</t>
  </si>
  <si>
    <t>End Date</t>
  </si>
  <si>
    <t>Name</t>
  </si>
  <si>
    <t>Roll no.</t>
  </si>
  <si>
    <t>Somu</t>
  </si>
  <si>
    <t>Ram</t>
  </si>
  <si>
    <t>Rita</t>
  </si>
  <si>
    <t>Asim</t>
  </si>
  <si>
    <t>Ritu</t>
  </si>
  <si>
    <t>Shreya</t>
  </si>
  <si>
    <t>Sourav</t>
  </si>
  <si>
    <t>Shubham</t>
  </si>
  <si>
    <t>Akash</t>
  </si>
  <si>
    <t>Shradha</t>
  </si>
  <si>
    <t>Priyanka</t>
  </si>
  <si>
    <t>Full Day</t>
  </si>
  <si>
    <t>Present</t>
  </si>
  <si>
    <t>Absent</t>
  </si>
  <si>
    <t>Half Day</t>
  </si>
  <si>
    <t>Days</t>
  </si>
  <si>
    <t>Work</t>
  </si>
  <si>
    <t>Pr.</t>
  </si>
  <si>
    <t>Percent</t>
  </si>
  <si>
    <t>Ab.</t>
  </si>
  <si>
    <t>p</t>
  </si>
  <si>
    <t>a</t>
  </si>
  <si>
    <t>h</t>
  </si>
  <si>
    <t>A</t>
  </si>
  <si>
    <t>H</t>
  </si>
  <si>
    <t>f</t>
  </si>
  <si>
    <t>Rahul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</si>
</sst>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5" tint="-0.249977111117893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2" fillId="0" borderId="0" xfId="0" applyFont="1"/>
    <xf numFmtId="14" fontId="0" fillId="0" borderId="0" xfId="0" applyNumberFormat="1" applyAlignment="1">
      <alignment horizontal="center"/>
    </xf>
    <xf numFmtId="0" fontId="2" fillId="2" borderId="1" xfId="0" applyFont="1" applyFill="1" applyBorder="1"/>
    <xf numFmtId="164" fontId="2" fillId="2" borderId="1" xfId="0" applyNumberFormat="1" applyFont="1" applyFill="1" applyBorder="1"/>
    <xf numFmtId="0" fontId="0" fillId="0" borderId="1" xfId="0" applyBorder="1"/>
    <xf numFmtId="9" fontId="0" fillId="0" borderId="1" xfId="1" applyFont="1" applyBorder="1"/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99060</xdr:colOff>
      <xdr:row>0</xdr:row>
      <xdr:rowOff>129540</xdr:rowOff>
    </xdr:from>
    <xdr:to>
      <xdr:col>26</xdr:col>
      <xdr:colOff>91440</xdr:colOff>
      <xdr:row>2</xdr:row>
      <xdr:rowOff>60960</xdr:rowOff>
    </xdr:to>
    <xdr:sp macro="[0]!Copyrename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157E5B5-CDD5-4C6F-BB22-79B2C935561B}"/>
            </a:ext>
          </a:extLst>
        </xdr:cNvPr>
        <xdr:cNvSpPr/>
      </xdr:nvSpPr>
      <xdr:spPr>
        <a:xfrm>
          <a:off x="6888480" y="129540"/>
          <a:ext cx="110490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 b="1">
              <a:latin typeface="Times New Roman" panose="02020603050405020304" pitchFamily="18" charset="0"/>
              <a:cs typeface="Times New Roman" panose="02020603050405020304" pitchFamily="18" charset="0"/>
            </a:rPr>
            <a:t>Copy Sheet</a:t>
          </a:r>
        </a:p>
      </xdr:txBody>
    </xdr:sp>
    <xdr:clientData/>
  </xdr:twoCellAnchor>
  <xdr:twoCellAnchor>
    <xdr:from>
      <xdr:col>27</xdr:col>
      <xdr:colOff>251460</xdr:colOff>
      <xdr:row>0</xdr:row>
      <xdr:rowOff>137160</xdr:rowOff>
    </xdr:from>
    <xdr:to>
      <xdr:col>31</xdr:col>
      <xdr:colOff>106680</xdr:colOff>
      <xdr:row>2</xdr:row>
      <xdr:rowOff>68580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B89F31-A8D9-4026-946F-9B7D6F34BCB7}"/>
            </a:ext>
          </a:extLst>
        </xdr:cNvPr>
        <xdr:cNvSpPr/>
      </xdr:nvSpPr>
      <xdr:spPr>
        <a:xfrm>
          <a:off x="8404860" y="137160"/>
          <a:ext cx="110490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 b="1">
              <a:latin typeface="Times New Roman" panose="02020603050405020304" pitchFamily="18" charset="0"/>
              <a:cs typeface="Times New Roman" panose="02020603050405020304" pitchFamily="18" charset="0"/>
            </a:rPr>
            <a:t>Clear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CBB9-AC01-4673-A7B0-5D27265F7768}">
  <sheetPr codeName="Sheet1"/>
  <dimension ref="A1:D19"/>
  <sheetViews>
    <sheetView workbookViewId="0">
      <selection activeCell="C26" sqref="C26"/>
    </sheetView>
  </sheetViews>
  <sheetFormatPr defaultRowHeight="14.4" x14ac:dyDescent="0.3"/>
  <cols>
    <col min="3" max="3" width="21.88671875" bestFit="1" customWidth="1"/>
    <col min="4" max="4" width="10.33203125" bestFit="1" customWidth="1"/>
  </cols>
  <sheetData>
    <row r="1" spans="1:4" x14ac:dyDescent="0.3">
      <c r="A1" s="2" t="s">
        <v>0</v>
      </c>
      <c r="C1" s="2" t="s">
        <v>13</v>
      </c>
      <c r="D1" s="2" t="s">
        <v>32</v>
      </c>
    </row>
    <row r="2" spans="1:4" x14ac:dyDescent="0.3">
      <c r="A2" t="s">
        <v>1</v>
      </c>
      <c r="C2" t="s">
        <v>14</v>
      </c>
      <c r="D2" s="1">
        <v>43831</v>
      </c>
    </row>
    <row r="3" spans="1:4" x14ac:dyDescent="0.3">
      <c r="A3" t="s">
        <v>2</v>
      </c>
      <c r="C3" t="s">
        <v>15</v>
      </c>
      <c r="D3" s="1">
        <v>43845</v>
      </c>
    </row>
    <row r="4" spans="1:4" x14ac:dyDescent="0.3">
      <c r="A4" t="s">
        <v>3</v>
      </c>
      <c r="C4" t="s">
        <v>27</v>
      </c>
      <c r="D4" s="1">
        <v>43860</v>
      </c>
    </row>
    <row r="5" spans="1:4" x14ac:dyDescent="0.3">
      <c r="A5" t="s">
        <v>4</v>
      </c>
      <c r="C5" t="s">
        <v>16</v>
      </c>
      <c r="D5" s="1">
        <v>43870</v>
      </c>
    </row>
    <row r="6" spans="1:4" x14ac:dyDescent="0.3">
      <c r="A6" t="s">
        <v>5</v>
      </c>
      <c r="C6" t="s">
        <v>28</v>
      </c>
      <c r="D6" s="1">
        <v>43880</v>
      </c>
    </row>
    <row r="7" spans="1:4" x14ac:dyDescent="0.3">
      <c r="A7" t="s">
        <v>6</v>
      </c>
      <c r="C7" t="s">
        <v>29</v>
      </c>
      <c r="D7" s="1">
        <v>43899</v>
      </c>
    </row>
    <row r="8" spans="1:4" x14ac:dyDescent="0.3">
      <c r="A8" t="s">
        <v>7</v>
      </c>
      <c r="C8" t="s">
        <v>30</v>
      </c>
      <c r="D8" s="1">
        <v>43915</v>
      </c>
    </row>
    <row r="9" spans="1:4" x14ac:dyDescent="0.3">
      <c r="A9" t="s">
        <v>8</v>
      </c>
      <c r="C9" t="s">
        <v>17</v>
      </c>
      <c r="D9" s="1">
        <v>43923</v>
      </c>
    </row>
    <row r="10" spans="1:4" x14ac:dyDescent="0.3">
      <c r="A10" t="s">
        <v>9</v>
      </c>
      <c r="C10" t="s">
        <v>18</v>
      </c>
      <c r="D10" s="1">
        <v>43958</v>
      </c>
    </row>
    <row r="11" spans="1:4" x14ac:dyDescent="0.3">
      <c r="A11" t="s">
        <v>10</v>
      </c>
      <c r="C11" t="s">
        <v>21</v>
      </c>
      <c r="D11" s="1">
        <v>43973</v>
      </c>
    </row>
    <row r="12" spans="1:4" x14ac:dyDescent="0.3">
      <c r="A12" t="s">
        <v>11</v>
      </c>
      <c r="C12" t="s">
        <v>19</v>
      </c>
      <c r="D12" s="1">
        <v>44005</v>
      </c>
    </row>
    <row r="13" spans="1:4" x14ac:dyDescent="0.3">
      <c r="A13" t="s">
        <v>12</v>
      </c>
      <c r="C13" t="s">
        <v>20</v>
      </c>
      <c r="D13" s="1">
        <v>44046</v>
      </c>
    </row>
    <row r="14" spans="1:4" x14ac:dyDescent="0.3">
      <c r="C14" t="s">
        <v>22</v>
      </c>
      <c r="D14" s="1">
        <v>44129</v>
      </c>
    </row>
    <row r="15" spans="1:4" x14ac:dyDescent="0.3">
      <c r="C15" t="s">
        <v>23</v>
      </c>
      <c r="D15" s="1">
        <v>44130</v>
      </c>
    </row>
    <row r="16" spans="1:4" x14ac:dyDescent="0.3">
      <c r="C16" t="s">
        <v>24</v>
      </c>
      <c r="D16" s="1">
        <v>44131</v>
      </c>
    </row>
    <row r="17" spans="3:4" x14ac:dyDescent="0.3">
      <c r="C17" t="s">
        <v>25</v>
      </c>
      <c r="D17" s="1">
        <v>44151</v>
      </c>
    </row>
    <row r="18" spans="3:4" x14ac:dyDescent="0.3">
      <c r="C18" t="s">
        <v>26</v>
      </c>
      <c r="D18" s="1">
        <v>44155</v>
      </c>
    </row>
    <row r="19" spans="3:4" x14ac:dyDescent="0.3">
      <c r="C19" t="s">
        <v>31</v>
      </c>
      <c r="D19" s="1">
        <v>44190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D6FEC-5BF0-475C-A08F-05044BDAE9E3}">
  <sheetPr codeName="Sheet2"/>
  <dimension ref="A1:AM18"/>
  <sheetViews>
    <sheetView tabSelected="1" workbookViewId="0">
      <selection activeCell="H22" sqref="H22"/>
    </sheetView>
  </sheetViews>
  <sheetFormatPr defaultRowHeight="14.4" x14ac:dyDescent="0.3"/>
  <cols>
    <col min="1" max="1" width="7.33203125" bestFit="1" customWidth="1"/>
    <col min="2" max="2" width="8.44140625" bestFit="1" customWidth="1"/>
    <col min="3" max="3" width="4.88671875" bestFit="1" customWidth="1"/>
    <col min="4" max="4" width="4.21875" bestFit="1" customWidth="1"/>
    <col min="5" max="5" width="3" bestFit="1" customWidth="1"/>
    <col min="6" max="6" width="3.6640625" bestFit="1" customWidth="1"/>
    <col min="7" max="7" width="4.21875" bestFit="1" customWidth="1"/>
    <col min="8" max="8" width="5" bestFit="1" customWidth="1"/>
    <col min="9" max="9" width="4.109375" bestFit="1" customWidth="1"/>
    <col min="10" max="10" width="4.88671875" bestFit="1" customWidth="1"/>
    <col min="11" max="11" width="4.21875" bestFit="1" customWidth="1"/>
    <col min="12" max="12" width="3" bestFit="1" customWidth="1"/>
    <col min="13" max="13" width="3.6640625" bestFit="1" customWidth="1"/>
    <col min="14" max="14" width="4.21875" bestFit="1" customWidth="1"/>
    <col min="15" max="15" width="5" bestFit="1" customWidth="1"/>
    <col min="16" max="16" width="4.109375" bestFit="1" customWidth="1"/>
    <col min="17" max="17" width="4.88671875" bestFit="1" customWidth="1"/>
    <col min="18" max="18" width="4.21875" bestFit="1" customWidth="1"/>
    <col min="19" max="19" width="3" bestFit="1" customWidth="1"/>
    <col min="20" max="20" width="3.6640625" bestFit="1" customWidth="1"/>
    <col min="21" max="21" width="4.21875" bestFit="1" customWidth="1"/>
    <col min="22" max="22" width="5" bestFit="1" customWidth="1"/>
    <col min="23" max="23" width="4.109375" bestFit="1" customWidth="1"/>
    <col min="24" max="24" width="4.88671875" bestFit="1" customWidth="1"/>
    <col min="25" max="25" width="4.21875" bestFit="1" customWidth="1"/>
    <col min="26" max="26" width="3" bestFit="1" customWidth="1"/>
    <col min="27" max="27" width="3.6640625" bestFit="1" customWidth="1"/>
    <col min="28" max="28" width="4.21875" bestFit="1" customWidth="1"/>
    <col min="29" max="29" width="5" bestFit="1" customWidth="1"/>
    <col min="30" max="30" width="4.109375" bestFit="1" customWidth="1"/>
    <col min="31" max="31" width="4.88671875" bestFit="1" customWidth="1"/>
    <col min="32" max="32" width="4.21875" bestFit="1" customWidth="1"/>
    <col min="33" max="33" width="3" bestFit="1" customWidth="1"/>
    <col min="34" max="35" width="7.5546875" bestFit="1" customWidth="1"/>
    <col min="36" max="36" width="8" bestFit="1" customWidth="1"/>
    <col min="37" max="37" width="5.5546875" bestFit="1" customWidth="1"/>
    <col min="38" max="39" width="7.44140625" bestFit="1" customWidth="1"/>
  </cols>
  <sheetData>
    <row r="1" spans="1:39" ht="17.399999999999999" x14ac:dyDescent="0.3">
      <c r="A1" s="9" t="s">
        <v>33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 t="s">
        <v>1</v>
      </c>
      <c r="N1" s="9"/>
      <c r="O1" s="9"/>
      <c r="P1" s="9"/>
      <c r="Q1" s="9"/>
      <c r="R1" s="10">
        <f>E2</f>
        <v>44197</v>
      </c>
      <c r="S1" s="10"/>
      <c r="T1" s="10"/>
    </row>
    <row r="2" spans="1:39" x14ac:dyDescent="0.3">
      <c r="C2" s="12" t="s">
        <v>34</v>
      </c>
      <c r="D2" s="12"/>
      <c r="E2" s="8">
        <f>DATEVALUE("1"&amp;M1)</f>
        <v>44197</v>
      </c>
      <c r="F2" s="8"/>
      <c r="G2" s="8"/>
      <c r="H2" s="12" t="s">
        <v>35</v>
      </c>
      <c r="I2" s="12"/>
      <c r="J2" s="8">
        <f>EOMONTH(E2,0)</f>
        <v>44227</v>
      </c>
      <c r="K2" s="8"/>
      <c r="L2" s="8"/>
    </row>
    <row r="3" spans="1:39" x14ac:dyDescent="0.3">
      <c r="D3" s="3"/>
      <c r="E3" s="3"/>
      <c r="F3" s="3"/>
      <c r="G3" s="3"/>
      <c r="I3" s="3"/>
      <c r="J3" s="3"/>
      <c r="K3" s="3"/>
    </row>
    <row r="4" spans="1:39" x14ac:dyDescent="0.3">
      <c r="C4">
        <f t="shared" ref="C4:AG4" si="0">IFERROR(IF(C6="",1,MATCH(C6,Holidays,0)),0)</f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</row>
    <row r="5" spans="1:39" x14ac:dyDescent="0.3">
      <c r="A5" s="11" t="s">
        <v>37</v>
      </c>
      <c r="B5" s="11" t="s">
        <v>36</v>
      </c>
      <c r="C5" s="4" t="str">
        <f>TEXT(C6,"ddd")</f>
        <v>Fri</v>
      </c>
      <c r="D5" s="4" t="str">
        <f t="shared" ref="D5:AG5" si="1">TEXT(D6,"ddd")</f>
        <v>Sat</v>
      </c>
      <c r="E5" s="4" t="str">
        <f t="shared" si="1"/>
        <v>Sun</v>
      </c>
      <c r="F5" s="4" t="str">
        <f t="shared" si="1"/>
        <v>Mon</v>
      </c>
      <c r="G5" s="4" t="str">
        <f t="shared" si="1"/>
        <v>Tue</v>
      </c>
      <c r="H5" s="4" t="str">
        <f t="shared" si="1"/>
        <v>Wed</v>
      </c>
      <c r="I5" s="4" t="str">
        <f t="shared" si="1"/>
        <v>Thu</v>
      </c>
      <c r="J5" s="4" t="str">
        <f t="shared" si="1"/>
        <v>Fri</v>
      </c>
      <c r="K5" s="4" t="str">
        <f t="shared" si="1"/>
        <v>Sat</v>
      </c>
      <c r="L5" s="4" t="str">
        <f t="shared" si="1"/>
        <v>Sun</v>
      </c>
      <c r="M5" s="4" t="str">
        <f t="shared" si="1"/>
        <v>Mon</v>
      </c>
      <c r="N5" s="4" t="str">
        <f t="shared" si="1"/>
        <v>Tue</v>
      </c>
      <c r="O5" s="4" t="str">
        <f t="shared" si="1"/>
        <v>Wed</v>
      </c>
      <c r="P5" s="4" t="str">
        <f t="shared" si="1"/>
        <v>Thu</v>
      </c>
      <c r="Q5" s="4" t="str">
        <f t="shared" si="1"/>
        <v>Fri</v>
      </c>
      <c r="R5" s="4" t="str">
        <f t="shared" si="1"/>
        <v>Sat</v>
      </c>
      <c r="S5" s="4" t="str">
        <f t="shared" si="1"/>
        <v>Sun</v>
      </c>
      <c r="T5" s="4" t="str">
        <f t="shared" si="1"/>
        <v>Mon</v>
      </c>
      <c r="U5" s="4" t="str">
        <f t="shared" si="1"/>
        <v>Tue</v>
      </c>
      <c r="V5" s="4" t="str">
        <f t="shared" si="1"/>
        <v>Wed</v>
      </c>
      <c r="W5" s="4" t="str">
        <f t="shared" si="1"/>
        <v>Thu</v>
      </c>
      <c r="X5" s="4" t="str">
        <f t="shared" si="1"/>
        <v>Fri</v>
      </c>
      <c r="Y5" s="4" t="str">
        <f t="shared" si="1"/>
        <v>Sat</v>
      </c>
      <c r="Z5" s="4" t="str">
        <f t="shared" si="1"/>
        <v>Sun</v>
      </c>
      <c r="AA5" s="4" t="str">
        <f t="shared" si="1"/>
        <v>Mon</v>
      </c>
      <c r="AB5" s="4" t="str">
        <f t="shared" si="1"/>
        <v>Tue</v>
      </c>
      <c r="AC5" s="4" t="str">
        <f t="shared" si="1"/>
        <v>Wed</v>
      </c>
      <c r="AD5" s="4" t="str">
        <f t="shared" si="1"/>
        <v>Thu</v>
      </c>
      <c r="AE5" s="4" t="str">
        <f t="shared" si="1"/>
        <v>Fri</v>
      </c>
      <c r="AF5" s="4" t="str">
        <f t="shared" si="1"/>
        <v>Sat</v>
      </c>
      <c r="AG5" s="4" t="str">
        <f t="shared" si="1"/>
        <v>Sun</v>
      </c>
      <c r="AH5" s="4" t="s">
        <v>49</v>
      </c>
      <c r="AI5" s="4" t="s">
        <v>49</v>
      </c>
      <c r="AJ5" s="4" t="s">
        <v>52</v>
      </c>
      <c r="AK5" s="4" t="s">
        <v>54</v>
      </c>
      <c r="AL5" s="4" t="s">
        <v>55</v>
      </c>
      <c r="AM5" s="4" t="s">
        <v>57</v>
      </c>
    </row>
    <row r="6" spans="1:39" x14ac:dyDescent="0.3">
      <c r="A6" s="11"/>
      <c r="B6" s="11"/>
      <c r="C6" s="5">
        <f>E2</f>
        <v>44197</v>
      </c>
      <c r="D6" s="5">
        <f t="shared" ref="D6:AG6" si="2">IF(C6&lt;$J$2,C6+1,"")</f>
        <v>44198</v>
      </c>
      <c r="E6" s="5">
        <f t="shared" si="2"/>
        <v>44199</v>
      </c>
      <c r="F6" s="5">
        <f t="shared" si="2"/>
        <v>44200</v>
      </c>
      <c r="G6" s="5">
        <f t="shared" si="2"/>
        <v>44201</v>
      </c>
      <c r="H6" s="5">
        <f t="shared" si="2"/>
        <v>44202</v>
      </c>
      <c r="I6" s="5">
        <f t="shared" si="2"/>
        <v>44203</v>
      </c>
      <c r="J6" s="5">
        <f t="shared" si="2"/>
        <v>44204</v>
      </c>
      <c r="K6" s="5">
        <f t="shared" si="2"/>
        <v>44205</v>
      </c>
      <c r="L6" s="5">
        <f t="shared" si="2"/>
        <v>44206</v>
      </c>
      <c r="M6" s="5">
        <f t="shared" si="2"/>
        <v>44207</v>
      </c>
      <c r="N6" s="5">
        <f t="shared" si="2"/>
        <v>44208</v>
      </c>
      <c r="O6" s="5">
        <f t="shared" si="2"/>
        <v>44209</v>
      </c>
      <c r="P6" s="5">
        <f t="shared" si="2"/>
        <v>44210</v>
      </c>
      <c r="Q6" s="5">
        <f t="shared" si="2"/>
        <v>44211</v>
      </c>
      <c r="R6" s="5">
        <f t="shared" si="2"/>
        <v>44212</v>
      </c>
      <c r="S6" s="5">
        <f t="shared" si="2"/>
        <v>44213</v>
      </c>
      <c r="T6" s="5">
        <f t="shared" si="2"/>
        <v>44214</v>
      </c>
      <c r="U6" s="5">
        <f t="shared" si="2"/>
        <v>44215</v>
      </c>
      <c r="V6" s="5">
        <f t="shared" si="2"/>
        <v>44216</v>
      </c>
      <c r="W6" s="5">
        <f t="shared" si="2"/>
        <v>44217</v>
      </c>
      <c r="X6" s="5">
        <f t="shared" si="2"/>
        <v>44218</v>
      </c>
      <c r="Y6" s="5">
        <f t="shared" si="2"/>
        <v>44219</v>
      </c>
      <c r="Z6" s="5">
        <f t="shared" si="2"/>
        <v>44220</v>
      </c>
      <c r="AA6" s="5">
        <f t="shared" si="2"/>
        <v>44221</v>
      </c>
      <c r="AB6" s="5">
        <f t="shared" si="2"/>
        <v>44222</v>
      </c>
      <c r="AC6" s="5">
        <f t="shared" si="2"/>
        <v>44223</v>
      </c>
      <c r="AD6" s="5">
        <f t="shared" si="2"/>
        <v>44224</v>
      </c>
      <c r="AE6" s="5">
        <f t="shared" si="2"/>
        <v>44225</v>
      </c>
      <c r="AF6" s="5">
        <f t="shared" si="2"/>
        <v>44226</v>
      </c>
      <c r="AG6" s="5">
        <f t="shared" si="2"/>
        <v>44227</v>
      </c>
      <c r="AH6" s="4" t="s">
        <v>50</v>
      </c>
      <c r="AI6" s="4" t="s">
        <v>51</v>
      </c>
      <c r="AJ6" s="4" t="s">
        <v>50</v>
      </c>
      <c r="AK6" s="4" t="s">
        <v>53</v>
      </c>
      <c r="AL6" s="4" t="s">
        <v>56</v>
      </c>
      <c r="AM6" s="4" t="s">
        <v>56</v>
      </c>
    </row>
    <row r="7" spans="1:39" x14ac:dyDescent="0.3">
      <c r="A7" s="6">
        <v>1</v>
      </c>
      <c r="B7" s="6" t="s">
        <v>38</v>
      </c>
      <c r="C7" s="6" t="s">
        <v>58</v>
      </c>
      <c r="D7" s="6" t="s">
        <v>58</v>
      </c>
      <c r="E7" s="6" t="s">
        <v>58</v>
      </c>
      <c r="F7" s="6" t="s">
        <v>58</v>
      </c>
      <c r="G7" s="6" t="s">
        <v>58</v>
      </c>
      <c r="H7" s="6" t="s">
        <v>58</v>
      </c>
      <c r="I7" s="6" t="s">
        <v>58</v>
      </c>
      <c r="J7" s="6" t="s">
        <v>58</v>
      </c>
      <c r="K7" s="6" t="s">
        <v>58</v>
      </c>
      <c r="L7" s="6" t="s">
        <v>58</v>
      </c>
      <c r="M7" s="6" t="s">
        <v>58</v>
      </c>
      <c r="N7" s="6" t="s">
        <v>58</v>
      </c>
      <c r="O7" s="6" t="s">
        <v>59</v>
      </c>
      <c r="P7" s="6" t="s">
        <v>59</v>
      </c>
      <c r="Q7" s="6" t="s">
        <v>58</v>
      </c>
      <c r="R7" s="6" t="s">
        <v>59</v>
      </c>
      <c r="S7" s="6" t="s">
        <v>59</v>
      </c>
      <c r="T7" s="6" t="s">
        <v>60</v>
      </c>
      <c r="U7" s="6" t="s">
        <v>58</v>
      </c>
      <c r="V7" s="6" t="s">
        <v>58</v>
      </c>
      <c r="W7" s="6" t="s">
        <v>58</v>
      </c>
      <c r="X7" s="6" t="s">
        <v>58</v>
      </c>
      <c r="Y7" s="6" t="s">
        <v>58</v>
      </c>
      <c r="Z7" s="6" t="s">
        <v>58</v>
      </c>
      <c r="AA7" s="6" t="s">
        <v>60</v>
      </c>
      <c r="AB7" s="6" t="s">
        <v>58</v>
      </c>
      <c r="AC7" s="6" t="s">
        <v>58</v>
      </c>
      <c r="AD7" s="6" t="s">
        <v>58</v>
      </c>
      <c r="AE7" s="6" t="s">
        <v>58</v>
      </c>
      <c r="AF7" s="6"/>
      <c r="AG7" s="6"/>
      <c r="AH7" s="6">
        <f>COUNTIFS(C7:AG7,"P",$C$5:$AG$5,"&lt;&gt;Sun",$C$4:$AG$4,0)</f>
        <v>20</v>
      </c>
      <c r="AI7" s="6">
        <f>COUNTIFS(C7:AG7,"A",$C$5:$AG$5,"&lt;&gt;Sun",$C$4:$AG$4,0)</f>
        <v>3</v>
      </c>
      <c r="AJ7" s="6">
        <f>COUNTIFS(C7:AG7,"H",$C$5:$AG$5,"&lt;&gt;Sun",$C$4:$AG$4,0)</f>
        <v>2</v>
      </c>
      <c r="AK7" s="6">
        <f>COUNTIFS($C$5:$AG$5,"&lt;&gt;Sun",$C$4:$AG$4,0)</f>
        <v>26</v>
      </c>
      <c r="AL7" s="7">
        <f>(AH7+AJ7*0.5)/AK7</f>
        <v>0.80769230769230771</v>
      </c>
      <c r="AM7" s="7">
        <f>AI7/AK7</f>
        <v>0.11538461538461539</v>
      </c>
    </row>
    <row r="8" spans="1:39" x14ac:dyDescent="0.3">
      <c r="A8" s="6">
        <v>2</v>
      </c>
      <c r="B8" s="6" t="s">
        <v>64</v>
      </c>
      <c r="C8" s="6"/>
      <c r="D8" s="6" t="s">
        <v>58</v>
      </c>
      <c r="E8" s="6" t="s">
        <v>58</v>
      </c>
      <c r="F8" s="6" t="s">
        <v>58</v>
      </c>
      <c r="G8" s="6"/>
      <c r="H8" s="6" t="s">
        <v>58</v>
      </c>
      <c r="I8" s="6" t="s">
        <v>58</v>
      </c>
      <c r="J8" s="6" t="s">
        <v>59</v>
      </c>
      <c r="K8" s="6" t="s">
        <v>58</v>
      </c>
      <c r="L8" s="6" t="s">
        <v>58</v>
      </c>
      <c r="M8" s="6" t="s">
        <v>58</v>
      </c>
      <c r="N8" s="6"/>
      <c r="O8" s="6" t="s">
        <v>59</v>
      </c>
      <c r="P8" s="6" t="s">
        <v>58</v>
      </c>
      <c r="Q8" s="6"/>
      <c r="R8" s="6" t="s">
        <v>58</v>
      </c>
      <c r="S8" s="6" t="s">
        <v>58</v>
      </c>
      <c r="T8" s="6" t="s">
        <v>58</v>
      </c>
      <c r="U8" s="6"/>
      <c r="V8" s="6" t="s">
        <v>58</v>
      </c>
      <c r="W8" s="6" t="s">
        <v>59</v>
      </c>
      <c r="X8" s="6" t="s">
        <v>60</v>
      </c>
      <c r="Y8" s="6" t="s">
        <v>58</v>
      </c>
      <c r="Z8" s="6" t="s">
        <v>59</v>
      </c>
      <c r="AA8" s="6" t="s">
        <v>60</v>
      </c>
      <c r="AB8" s="6"/>
      <c r="AC8" s="6" t="s">
        <v>58</v>
      </c>
      <c r="AD8" s="6" t="s">
        <v>58</v>
      </c>
      <c r="AE8" s="6" t="s">
        <v>58</v>
      </c>
      <c r="AF8" s="6"/>
      <c r="AG8" s="6"/>
      <c r="AH8" s="6">
        <f t="shared" ref="AH8:AH18" si="3">COUNTIFS(C8:AG8,"P",$C$5:$AG$5,"&lt;&gt;Sun",$C$4:$AG$4,0)</f>
        <v>14</v>
      </c>
      <c r="AI8" s="6">
        <f t="shared" ref="AI8:AI18" si="4">COUNTIFS(C8:AG8,"A",$C$5:$AG$5,"&lt;&gt;Sun",$C$4:$AG$4,0)</f>
        <v>3</v>
      </c>
      <c r="AJ8" s="6">
        <f t="shared" ref="AJ8:AJ18" si="5">COUNTIFS(C8:AG8,"H",$C$5:$AG$5,"&lt;&gt;Sun",$C$4:$AG$4,0)</f>
        <v>2</v>
      </c>
      <c r="AK8" s="6">
        <f t="shared" ref="AK8:AK18" si="6">COUNTIFS($C$5:$AG$5,"&lt;&gt;Sun",$C$4:$AG$4,0)</f>
        <v>26</v>
      </c>
      <c r="AL8" s="7">
        <f t="shared" ref="AL8:AL18" si="7">(AH8+AJ8*0.5)/AK8</f>
        <v>0.57692307692307687</v>
      </c>
      <c r="AM8" s="7">
        <f t="shared" ref="AM8:AM18" si="8">AI8/AK8</f>
        <v>0.11538461538461539</v>
      </c>
    </row>
    <row r="9" spans="1:39" x14ac:dyDescent="0.3">
      <c r="A9" s="6">
        <v>3</v>
      </c>
      <c r="B9" s="6" t="s">
        <v>39</v>
      </c>
      <c r="C9" s="6"/>
      <c r="D9" s="6" t="s">
        <v>58</v>
      </c>
      <c r="E9" s="6" t="s">
        <v>58</v>
      </c>
      <c r="F9" s="6" t="s">
        <v>58</v>
      </c>
      <c r="G9" s="6"/>
      <c r="H9" s="6" t="s">
        <v>58</v>
      </c>
      <c r="I9" s="6" t="s">
        <v>58</v>
      </c>
      <c r="J9" s="6" t="s">
        <v>58</v>
      </c>
      <c r="K9" s="6" t="s">
        <v>58</v>
      </c>
      <c r="L9" s="6" t="s">
        <v>58</v>
      </c>
      <c r="M9" s="6" t="s">
        <v>58</v>
      </c>
      <c r="N9" s="6"/>
      <c r="O9" s="6" t="s">
        <v>60</v>
      </c>
      <c r="P9" s="6" t="s">
        <v>58</v>
      </c>
      <c r="Q9" s="6"/>
      <c r="R9" s="6" t="s">
        <v>58</v>
      </c>
      <c r="S9" s="6" t="s">
        <v>58</v>
      </c>
      <c r="T9" s="6" t="s">
        <v>59</v>
      </c>
      <c r="U9" s="6"/>
      <c r="V9" s="6" t="s">
        <v>58</v>
      </c>
      <c r="W9" s="6" t="s">
        <v>60</v>
      </c>
      <c r="X9" s="6" t="s">
        <v>58</v>
      </c>
      <c r="Y9" s="6" t="s">
        <v>58</v>
      </c>
      <c r="Z9" s="6" t="s">
        <v>59</v>
      </c>
      <c r="AA9" s="6" t="s">
        <v>60</v>
      </c>
      <c r="AB9" s="6"/>
      <c r="AC9" s="6" t="s">
        <v>58</v>
      </c>
      <c r="AD9" s="6" t="s">
        <v>58</v>
      </c>
      <c r="AE9" s="6" t="s">
        <v>60</v>
      </c>
      <c r="AF9" s="6"/>
      <c r="AG9" s="6"/>
      <c r="AH9" s="6">
        <f t="shared" si="3"/>
        <v>14</v>
      </c>
      <c r="AI9" s="6">
        <f t="shared" si="4"/>
        <v>1</v>
      </c>
      <c r="AJ9" s="6">
        <f t="shared" si="5"/>
        <v>4</v>
      </c>
      <c r="AK9" s="6">
        <f t="shared" si="6"/>
        <v>26</v>
      </c>
      <c r="AL9" s="7">
        <f t="shared" si="7"/>
        <v>0.61538461538461542</v>
      </c>
      <c r="AM9" s="7">
        <f t="shared" si="8"/>
        <v>3.8461538461538464E-2</v>
      </c>
    </row>
    <row r="10" spans="1:39" x14ac:dyDescent="0.3">
      <c r="A10" s="6">
        <v>4</v>
      </c>
      <c r="B10" s="6" t="s">
        <v>40</v>
      </c>
      <c r="C10" s="6"/>
      <c r="D10" s="6" t="s">
        <v>61</v>
      </c>
      <c r="E10" s="6" t="s">
        <v>58</v>
      </c>
      <c r="F10" s="6" t="s">
        <v>58</v>
      </c>
      <c r="G10" s="6"/>
      <c r="H10" s="6" t="s">
        <v>58</v>
      </c>
      <c r="I10" s="6" t="s">
        <v>58</v>
      </c>
      <c r="J10" s="6" t="s">
        <v>59</v>
      </c>
      <c r="K10" s="6" t="s">
        <v>58</v>
      </c>
      <c r="L10" s="6" t="s">
        <v>58</v>
      </c>
      <c r="M10" s="6" t="s">
        <v>58</v>
      </c>
      <c r="N10" s="6"/>
      <c r="O10" s="6" t="s">
        <v>58</v>
      </c>
      <c r="P10" s="6" t="s">
        <v>58</v>
      </c>
      <c r="Q10" s="6"/>
      <c r="R10" s="6" t="s">
        <v>59</v>
      </c>
      <c r="S10" s="6" t="s">
        <v>58</v>
      </c>
      <c r="T10" s="6" t="s">
        <v>58</v>
      </c>
      <c r="U10" s="6"/>
      <c r="V10" s="6" t="s">
        <v>58</v>
      </c>
      <c r="W10" s="6" t="s">
        <v>58</v>
      </c>
      <c r="X10" s="6" t="s">
        <v>58</v>
      </c>
      <c r="Y10" s="6" t="s">
        <v>58</v>
      </c>
      <c r="Z10" s="6" t="s">
        <v>59</v>
      </c>
      <c r="AA10" s="6" t="s">
        <v>60</v>
      </c>
      <c r="AB10" s="6"/>
      <c r="AC10" s="6" t="s">
        <v>58</v>
      </c>
      <c r="AD10" s="6" t="s">
        <v>58</v>
      </c>
      <c r="AE10" s="6" t="s">
        <v>58</v>
      </c>
      <c r="AF10" s="6"/>
      <c r="AG10" s="6"/>
      <c r="AH10" s="6">
        <f t="shared" si="3"/>
        <v>15</v>
      </c>
      <c r="AI10" s="6">
        <f t="shared" si="4"/>
        <v>3</v>
      </c>
      <c r="AJ10" s="6">
        <f t="shared" si="5"/>
        <v>1</v>
      </c>
      <c r="AK10" s="6">
        <f t="shared" si="6"/>
        <v>26</v>
      </c>
      <c r="AL10" s="7">
        <f t="shared" si="7"/>
        <v>0.59615384615384615</v>
      </c>
      <c r="AM10" s="7">
        <f t="shared" si="8"/>
        <v>0.11538461538461539</v>
      </c>
    </row>
    <row r="11" spans="1:39" x14ac:dyDescent="0.3">
      <c r="A11" s="6">
        <v>5</v>
      </c>
      <c r="B11" s="6" t="s">
        <v>41</v>
      </c>
      <c r="C11" s="6"/>
      <c r="D11" s="6" t="s">
        <v>61</v>
      </c>
      <c r="E11" s="6" t="s">
        <v>58</v>
      </c>
      <c r="F11" s="6" t="s">
        <v>62</v>
      </c>
      <c r="G11" s="6"/>
      <c r="H11" s="6" t="s">
        <v>58</v>
      </c>
      <c r="I11" s="6" t="s">
        <v>58</v>
      </c>
      <c r="J11" s="6" t="s">
        <v>60</v>
      </c>
      <c r="K11" s="6" t="s">
        <v>58</v>
      </c>
      <c r="L11" s="6" t="s">
        <v>58</v>
      </c>
      <c r="M11" s="6" t="s">
        <v>58</v>
      </c>
      <c r="N11" s="6"/>
      <c r="O11" s="6" t="s">
        <v>58</v>
      </c>
      <c r="P11" s="6" t="s">
        <v>58</v>
      </c>
      <c r="Q11" s="6"/>
      <c r="R11" s="6" t="s">
        <v>58</v>
      </c>
      <c r="S11" s="6" t="s">
        <v>58</v>
      </c>
      <c r="T11" s="6" t="s">
        <v>58</v>
      </c>
      <c r="U11" s="6"/>
      <c r="V11" s="6" t="s">
        <v>58</v>
      </c>
      <c r="W11" s="6" t="s">
        <v>60</v>
      </c>
      <c r="X11" s="6" t="s">
        <v>58</v>
      </c>
      <c r="Y11" s="6" t="s">
        <v>58</v>
      </c>
      <c r="Z11" s="6" t="s">
        <v>59</v>
      </c>
      <c r="AA11" s="6" t="s">
        <v>60</v>
      </c>
      <c r="AB11" s="6"/>
      <c r="AC11" s="6" t="s">
        <v>58</v>
      </c>
      <c r="AD11" s="6" t="s">
        <v>58</v>
      </c>
      <c r="AE11" s="6" t="s">
        <v>58</v>
      </c>
      <c r="AF11" s="6"/>
      <c r="AG11" s="6"/>
      <c r="AH11" s="6">
        <f t="shared" si="3"/>
        <v>14</v>
      </c>
      <c r="AI11" s="6">
        <f t="shared" si="4"/>
        <v>1</v>
      </c>
      <c r="AJ11" s="6">
        <f t="shared" si="5"/>
        <v>4</v>
      </c>
      <c r="AK11" s="6">
        <f t="shared" si="6"/>
        <v>26</v>
      </c>
      <c r="AL11" s="7">
        <f t="shared" si="7"/>
        <v>0.61538461538461542</v>
      </c>
      <c r="AM11" s="7">
        <f t="shared" si="8"/>
        <v>3.8461538461538464E-2</v>
      </c>
    </row>
    <row r="12" spans="1:39" x14ac:dyDescent="0.3">
      <c r="A12" s="6">
        <v>6</v>
      </c>
      <c r="B12" s="6" t="s">
        <v>42</v>
      </c>
      <c r="C12" s="6"/>
      <c r="D12" s="6" t="s">
        <v>61</v>
      </c>
      <c r="E12" s="6" t="s">
        <v>58</v>
      </c>
      <c r="F12" s="6" t="s">
        <v>58</v>
      </c>
      <c r="G12" s="6"/>
      <c r="H12" s="6" t="s">
        <v>61</v>
      </c>
      <c r="I12" s="6" t="s">
        <v>58</v>
      </c>
      <c r="J12" s="6" t="s">
        <v>60</v>
      </c>
      <c r="K12" s="6" t="s">
        <v>58</v>
      </c>
      <c r="L12" s="6" t="s">
        <v>58</v>
      </c>
      <c r="M12" s="6" t="s">
        <v>58</v>
      </c>
      <c r="N12" s="6"/>
      <c r="O12" s="6" t="s">
        <v>60</v>
      </c>
      <c r="P12" s="6" t="s">
        <v>58</v>
      </c>
      <c r="Q12" s="6"/>
      <c r="R12" s="6" t="s">
        <v>58</v>
      </c>
      <c r="S12" s="6" t="s">
        <v>58</v>
      </c>
      <c r="T12" s="6" t="s">
        <v>58</v>
      </c>
      <c r="U12" s="6"/>
      <c r="V12" s="6" t="s">
        <v>58</v>
      </c>
      <c r="W12" s="6" t="s">
        <v>58</v>
      </c>
      <c r="X12" s="6" t="s">
        <v>58</v>
      </c>
      <c r="Y12" s="6" t="s">
        <v>58</v>
      </c>
      <c r="Z12" s="6" t="s">
        <v>59</v>
      </c>
      <c r="AA12" s="6" t="s">
        <v>60</v>
      </c>
      <c r="AB12" s="6"/>
      <c r="AC12" s="6" t="s">
        <v>58</v>
      </c>
      <c r="AD12" s="6" t="s">
        <v>58</v>
      </c>
      <c r="AE12" s="6" t="s">
        <v>58</v>
      </c>
      <c r="AF12" s="6"/>
      <c r="AG12" s="6"/>
      <c r="AH12" s="6">
        <f t="shared" si="3"/>
        <v>14</v>
      </c>
      <c r="AI12" s="6">
        <f t="shared" si="4"/>
        <v>2</v>
      </c>
      <c r="AJ12" s="6">
        <f t="shared" si="5"/>
        <v>3</v>
      </c>
      <c r="AK12" s="6">
        <f t="shared" si="6"/>
        <v>26</v>
      </c>
      <c r="AL12" s="7">
        <f t="shared" si="7"/>
        <v>0.59615384615384615</v>
      </c>
      <c r="AM12" s="7">
        <f t="shared" si="8"/>
        <v>7.6923076923076927E-2</v>
      </c>
    </row>
    <row r="13" spans="1:39" x14ac:dyDescent="0.3">
      <c r="A13" s="6">
        <v>7</v>
      </c>
      <c r="B13" s="6" t="s">
        <v>43</v>
      </c>
      <c r="C13" s="6"/>
      <c r="D13" s="6" t="s">
        <v>58</v>
      </c>
      <c r="E13" s="6" t="s">
        <v>61</v>
      </c>
      <c r="F13" s="6" t="s">
        <v>58</v>
      </c>
      <c r="G13" s="6"/>
      <c r="H13" s="6" t="s">
        <v>58</v>
      </c>
      <c r="I13" s="6" t="s">
        <v>58</v>
      </c>
      <c r="J13" s="6" t="s">
        <v>58</v>
      </c>
      <c r="K13" s="6" t="s">
        <v>58</v>
      </c>
      <c r="L13" s="6" t="s">
        <v>58</v>
      </c>
      <c r="M13" s="6" t="s">
        <v>58</v>
      </c>
      <c r="N13" s="6"/>
      <c r="O13" s="6" t="s">
        <v>59</v>
      </c>
      <c r="P13" s="6" t="s">
        <v>58</v>
      </c>
      <c r="Q13" s="6"/>
      <c r="R13" s="6" t="s">
        <v>58</v>
      </c>
      <c r="S13" s="6" t="s">
        <v>58</v>
      </c>
      <c r="T13" s="6" t="s">
        <v>58</v>
      </c>
      <c r="U13" s="6"/>
      <c r="V13" s="6" t="s">
        <v>58</v>
      </c>
      <c r="W13" s="6" t="s">
        <v>59</v>
      </c>
      <c r="X13" s="6" t="s">
        <v>58</v>
      </c>
      <c r="Y13" s="6" t="s">
        <v>58</v>
      </c>
      <c r="Z13" s="6" t="s">
        <v>59</v>
      </c>
      <c r="AA13" s="6" t="s">
        <v>60</v>
      </c>
      <c r="AB13" s="6"/>
      <c r="AC13" s="6" t="s">
        <v>58</v>
      </c>
      <c r="AD13" s="6" t="s">
        <v>58</v>
      </c>
      <c r="AE13" s="6" t="s">
        <v>58</v>
      </c>
      <c r="AF13" s="6"/>
      <c r="AG13" s="6"/>
      <c r="AH13" s="6">
        <f t="shared" si="3"/>
        <v>16</v>
      </c>
      <c r="AI13" s="6">
        <f t="shared" si="4"/>
        <v>2</v>
      </c>
      <c r="AJ13" s="6">
        <f t="shared" si="5"/>
        <v>1</v>
      </c>
      <c r="AK13" s="6">
        <f t="shared" si="6"/>
        <v>26</v>
      </c>
      <c r="AL13" s="7">
        <f t="shared" si="7"/>
        <v>0.63461538461538458</v>
      </c>
      <c r="AM13" s="7">
        <f t="shared" si="8"/>
        <v>7.6923076923076927E-2</v>
      </c>
    </row>
    <row r="14" spans="1:39" x14ac:dyDescent="0.3">
      <c r="A14" s="6">
        <v>8</v>
      </c>
      <c r="B14" s="6" t="s">
        <v>44</v>
      </c>
      <c r="C14" s="6"/>
      <c r="D14" s="6" t="s">
        <v>58</v>
      </c>
      <c r="E14" s="6" t="s">
        <v>62</v>
      </c>
      <c r="F14" s="6" t="s">
        <v>61</v>
      </c>
      <c r="G14" s="6"/>
      <c r="H14" s="6" t="s">
        <v>58</v>
      </c>
      <c r="I14" s="6" t="s">
        <v>62</v>
      </c>
      <c r="J14" s="6" t="s">
        <v>58</v>
      </c>
      <c r="K14" s="6" t="s">
        <v>58</v>
      </c>
      <c r="L14" s="6" t="s">
        <v>58</v>
      </c>
      <c r="M14" s="6" t="s">
        <v>58</v>
      </c>
      <c r="N14" s="6"/>
      <c r="O14" s="6" t="s">
        <v>60</v>
      </c>
      <c r="P14" s="6" t="s">
        <v>58</v>
      </c>
      <c r="Q14" s="6"/>
      <c r="R14" s="6" t="s">
        <v>58</v>
      </c>
      <c r="S14" s="6" t="s">
        <v>58</v>
      </c>
      <c r="T14" s="6" t="s">
        <v>58</v>
      </c>
      <c r="U14" s="6"/>
      <c r="V14" s="6" t="s">
        <v>58</v>
      </c>
      <c r="W14" s="6" t="s">
        <v>58</v>
      </c>
      <c r="X14" s="6" t="s">
        <v>60</v>
      </c>
      <c r="Y14" s="6" t="s">
        <v>58</v>
      </c>
      <c r="Z14" s="6" t="s">
        <v>59</v>
      </c>
      <c r="AA14" s="6" t="s">
        <v>60</v>
      </c>
      <c r="AB14" s="6"/>
      <c r="AC14" s="6" t="s">
        <v>58</v>
      </c>
      <c r="AD14" s="6" t="s">
        <v>58</v>
      </c>
      <c r="AE14" s="6" t="s">
        <v>58</v>
      </c>
      <c r="AF14" s="6"/>
      <c r="AG14" s="6"/>
      <c r="AH14" s="6">
        <f t="shared" si="3"/>
        <v>14</v>
      </c>
      <c r="AI14" s="6">
        <f t="shared" si="4"/>
        <v>1</v>
      </c>
      <c r="AJ14" s="6">
        <f t="shared" si="5"/>
        <v>4</v>
      </c>
      <c r="AK14" s="6">
        <f t="shared" si="6"/>
        <v>26</v>
      </c>
      <c r="AL14" s="7">
        <f t="shared" si="7"/>
        <v>0.61538461538461542</v>
      </c>
      <c r="AM14" s="7">
        <f t="shared" si="8"/>
        <v>3.8461538461538464E-2</v>
      </c>
    </row>
    <row r="15" spans="1:39" x14ac:dyDescent="0.3">
      <c r="A15" s="6">
        <v>9</v>
      </c>
      <c r="B15" s="6" t="s">
        <v>45</v>
      </c>
      <c r="C15" s="6"/>
      <c r="D15" s="6" t="s">
        <v>58</v>
      </c>
      <c r="E15" s="6" t="s">
        <v>58</v>
      </c>
      <c r="F15" s="6" t="s">
        <v>58</v>
      </c>
      <c r="G15" s="6"/>
      <c r="H15" s="6" t="s">
        <v>62</v>
      </c>
      <c r="I15" s="6" t="s">
        <v>62</v>
      </c>
      <c r="J15" s="6" t="s">
        <v>58</v>
      </c>
      <c r="K15" s="6" t="s">
        <v>58</v>
      </c>
      <c r="L15" s="6" t="s">
        <v>58</v>
      </c>
      <c r="M15" s="6" t="s">
        <v>58</v>
      </c>
      <c r="N15" s="6"/>
      <c r="O15" s="6" t="s">
        <v>58</v>
      </c>
      <c r="P15" s="6" t="s">
        <v>58</v>
      </c>
      <c r="Q15" s="6"/>
      <c r="R15" s="6" t="s">
        <v>58</v>
      </c>
      <c r="S15" s="6" t="s">
        <v>58</v>
      </c>
      <c r="T15" s="6" t="s">
        <v>58</v>
      </c>
      <c r="U15" s="6"/>
      <c r="V15" s="6" t="s">
        <v>63</v>
      </c>
      <c r="W15" s="6" t="s">
        <v>60</v>
      </c>
      <c r="X15" s="6" t="s">
        <v>58</v>
      </c>
      <c r="Y15" s="6" t="s">
        <v>58</v>
      </c>
      <c r="Z15" s="6" t="s">
        <v>59</v>
      </c>
      <c r="AA15" s="6" t="s">
        <v>60</v>
      </c>
      <c r="AB15" s="6"/>
      <c r="AC15" s="6" t="s">
        <v>58</v>
      </c>
      <c r="AD15" s="6" t="s">
        <v>58</v>
      </c>
      <c r="AE15" s="6" t="s">
        <v>58</v>
      </c>
      <c r="AF15" s="6"/>
      <c r="AG15" s="6"/>
      <c r="AH15" s="6">
        <f t="shared" si="3"/>
        <v>14</v>
      </c>
      <c r="AI15" s="6">
        <f t="shared" si="4"/>
        <v>0</v>
      </c>
      <c r="AJ15" s="6">
        <f t="shared" si="5"/>
        <v>4</v>
      </c>
      <c r="AK15" s="6">
        <f t="shared" si="6"/>
        <v>26</v>
      </c>
      <c r="AL15" s="7">
        <f t="shared" si="7"/>
        <v>0.61538461538461542</v>
      </c>
      <c r="AM15" s="7">
        <f t="shared" si="8"/>
        <v>0</v>
      </c>
    </row>
    <row r="16" spans="1:39" x14ac:dyDescent="0.3">
      <c r="A16" s="6">
        <v>10</v>
      </c>
      <c r="B16" s="6" t="s">
        <v>46</v>
      </c>
      <c r="C16" s="6"/>
      <c r="D16" s="6" t="s">
        <v>58</v>
      </c>
      <c r="E16" s="6" t="s">
        <v>58</v>
      </c>
      <c r="F16" s="6" t="s">
        <v>58</v>
      </c>
      <c r="G16" s="6"/>
      <c r="H16" s="6" t="s">
        <v>62</v>
      </c>
      <c r="I16" s="6" t="s">
        <v>61</v>
      </c>
      <c r="J16" s="6" t="s">
        <v>58</v>
      </c>
      <c r="K16" s="6" t="s">
        <v>58</v>
      </c>
      <c r="L16" s="6" t="s">
        <v>58</v>
      </c>
      <c r="M16" s="6" t="s">
        <v>58</v>
      </c>
      <c r="N16" s="6"/>
      <c r="O16" s="6" t="s">
        <v>58</v>
      </c>
      <c r="P16" s="6" t="s">
        <v>58</v>
      </c>
      <c r="Q16" s="6"/>
      <c r="R16" s="6" t="s">
        <v>58</v>
      </c>
      <c r="S16" s="6" t="s">
        <v>59</v>
      </c>
      <c r="T16" s="6" t="s">
        <v>59</v>
      </c>
      <c r="U16" s="6"/>
      <c r="V16" s="6" t="s">
        <v>58</v>
      </c>
      <c r="W16" s="6" t="s">
        <v>58</v>
      </c>
      <c r="X16" s="6" t="s">
        <v>60</v>
      </c>
      <c r="Y16" s="6" t="s">
        <v>58</v>
      </c>
      <c r="Z16" s="6" t="s">
        <v>60</v>
      </c>
      <c r="AA16" s="6" t="s">
        <v>60</v>
      </c>
      <c r="AB16" s="6"/>
      <c r="AC16" s="6" t="s">
        <v>58</v>
      </c>
      <c r="AD16" s="6" t="s">
        <v>58</v>
      </c>
      <c r="AE16" s="6" t="s">
        <v>58</v>
      </c>
      <c r="AF16" s="6"/>
      <c r="AG16" s="6"/>
      <c r="AH16" s="6">
        <f t="shared" si="3"/>
        <v>14</v>
      </c>
      <c r="AI16" s="6">
        <f t="shared" si="4"/>
        <v>2</v>
      </c>
      <c r="AJ16" s="6">
        <f t="shared" si="5"/>
        <v>3</v>
      </c>
      <c r="AK16" s="6">
        <f t="shared" si="6"/>
        <v>26</v>
      </c>
      <c r="AL16" s="7">
        <f t="shared" si="7"/>
        <v>0.59615384615384615</v>
      </c>
      <c r="AM16" s="7">
        <f t="shared" si="8"/>
        <v>7.6923076923076927E-2</v>
      </c>
    </row>
    <row r="17" spans="1:39" x14ac:dyDescent="0.3">
      <c r="A17" s="6">
        <v>11</v>
      </c>
      <c r="B17" s="6" t="s">
        <v>47</v>
      </c>
      <c r="C17" s="6"/>
      <c r="D17" s="6" t="s">
        <v>58</v>
      </c>
      <c r="E17" s="6" t="s">
        <v>58</v>
      </c>
      <c r="F17" s="6" t="s">
        <v>58</v>
      </c>
      <c r="G17" s="6"/>
      <c r="H17" s="6" t="s">
        <v>58</v>
      </c>
      <c r="I17" s="6" t="s">
        <v>61</v>
      </c>
      <c r="J17" s="6" t="s">
        <v>58</v>
      </c>
      <c r="K17" s="6" t="s">
        <v>58</v>
      </c>
      <c r="L17" s="6" t="s">
        <v>58</v>
      </c>
      <c r="M17" s="6" t="s">
        <v>58</v>
      </c>
      <c r="N17" s="6"/>
      <c r="O17" s="6" t="s">
        <v>58</v>
      </c>
      <c r="P17" s="6" t="s">
        <v>58</v>
      </c>
      <c r="Q17" s="6"/>
      <c r="R17" s="6" t="s">
        <v>59</v>
      </c>
      <c r="S17" s="6" t="s">
        <v>59</v>
      </c>
      <c r="T17" s="6" t="s">
        <v>58</v>
      </c>
      <c r="U17" s="6"/>
      <c r="V17" s="6" t="s">
        <v>58</v>
      </c>
      <c r="W17" s="6" t="s">
        <v>58</v>
      </c>
      <c r="X17" s="6" t="s">
        <v>58</v>
      </c>
      <c r="Y17" s="6" t="s">
        <v>58</v>
      </c>
      <c r="Z17" s="6" t="s">
        <v>59</v>
      </c>
      <c r="AA17" s="6" t="s">
        <v>60</v>
      </c>
      <c r="AB17" s="6"/>
      <c r="AC17" s="6" t="s">
        <v>58</v>
      </c>
      <c r="AD17" s="6" t="s">
        <v>58</v>
      </c>
      <c r="AE17" s="6" t="s">
        <v>58</v>
      </c>
      <c r="AF17" s="6"/>
      <c r="AG17" s="6"/>
      <c r="AH17" s="6">
        <f t="shared" si="3"/>
        <v>16</v>
      </c>
      <c r="AI17" s="6">
        <f t="shared" si="4"/>
        <v>2</v>
      </c>
      <c r="AJ17" s="6">
        <f t="shared" si="5"/>
        <v>1</v>
      </c>
      <c r="AK17" s="6">
        <f t="shared" si="6"/>
        <v>26</v>
      </c>
      <c r="AL17" s="7">
        <f t="shared" si="7"/>
        <v>0.63461538461538458</v>
      </c>
      <c r="AM17" s="7">
        <f t="shared" si="8"/>
        <v>7.6923076923076927E-2</v>
      </c>
    </row>
    <row r="18" spans="1:39" x14ac:dyDescent="0.3">
      <c r="A18" s="6">
        <v>12</v>
      </c>
      <c r="B18" s="6" t="s">
        <v>48</v>
      </c>
      <c r="C18" s="6"/>
      <c r="D18" s="6" t="s">
        <v>58</v>
      </c>
      <c r="E18" s="6" t="s">
        <v>58</v>
      </c>
      <c r="F18" s="6" t="s">
        <v>61</v>
      </c>
      <c r="G18" s="6"/>
      <c r="H18" s="6" t="s">
        <v>58</v>
      </c>
      <c r="I18" s="6" t="s">
        <v>61</v>
      </c>
      <c r="J18" s="6" t="s">
        <v>58</v>
      </c>
      <c r="K18" s="6" t="s">
        <v>58</v>
      </c>
      <c r="L18" s="6" t="s">
        <v>58</v>
      </c>
      <c r="M18" s="6" t="s">
        <v>58</v>
      </c>
      <c r="N18" s="6"/>
      <c r="O18" s="6" t="s">
        <v>58</v>
      </c>
      <c r="P18" s="6" t="s">
        <v>58</v>
      </c>
      <c r="Q18" s="6"/>
      <c r="R18" s="6" t="s">
        <v>60</v>
      </c>
      <c r="S18" s="6" t="s">
        <v>60</v>
      </c>
      <c r="T18" s="6" t="s">
        <v>58</v>
      </c>
      <c r="U18" s="6"/>
      <c r="V18" s="6" t="s">
        <v>58</v>
      </c>
      <c r="W18" s="6" t="s">
        <v>58</v>
      </c>
      <c r="X18" s="6" t="s">
        <v>58</v>
      </c>
      <c r="Y18" s="6" t="s">
        <v>58</v>
      </c>
      <c r="Z18" s="6" t="s">
        <v>59</v>
      </c>
      <c r="AA18" s="6" t="s">
        <v>60</v>
      </c>
      <c r="AB18" s="6"/>
      <c r="AC18" s="6" t="s">
        <v>58</v>
      </c>
      <c r="AD18" s="6" t="s">
        <v>58</v>
      </c>
      <c r="AE18" s="6" t="s">
        <v>58</v>
      </c>
      <c r="AF18" s="6"/>
      <c r="AG18" s="6"/>
      <c r="AH18" s="6">
        <f t="shared" si="3"/>
        <v>15</v>
      </c>
      <c r="AI18" s="6">
        <f t="shared" si="4"/>
        <v>2</v>
      </c>
      <c r="AJ18" s="6">
        <f t="shared" si="5"/>
        <v>2</v>
      </c>
      <c r="AK18" s="6">
        <f t="shared" si="6"/>
        <v>26</v>
      </c>
      <c r="AL18" s="7">
        <f t="shared" si="7"/>
        <v>0.61538461538461542</v>
      </c>
      <c r="AM18" s="7">
        <f t="shared" si="8"/>
        <v>7.6923076923076927E-2</v>
      </c>
    </row>
  </sheetData>
  <mergeCells count="9">
    <mergeCell ref="J2:L2"/>
    <mergeCell ref="A1:L1"/>
    <mergeCell ref="M1:Q1"/>
    <mergeCell ref="R1:T1"/>
    <mergeCell ref="A5:A6"/>
    <mergeCell ref="B5:B6"/>
    <mergeCell ref="C2:D2"/>
    <mergeCell ref="E2:G2"/>
    <mergeCell ref="H2:I2"/>
  </mergeCells>
  <conditionalFormatting sqref="C5:AG6">
    <cfRule type="expression" dxfId="3" priority="3">
      <formula>OR(C$5="Sun")</formula>
    </cfRule>
    <cfRule type="expression" dxfId="2" priority="4">
      <formula>COUNTIF(Holidays,C$6)</formula>
    </cfRule>
  </conditionalFormatting>
  <conditionalFormatting sqref="C7:AG18">
    <cfRule type="expression" dxfId="1" priority="1">
      <formula>OR(C$5="Sun")</formula>
    </cfRule>
    <cfRule type="expression" dxfId="0" priority="2">
      <formula>COUNTIF(Holidays,C$6)</formula>
    </cfRule>
  </conditionalFormatting>
  <dataValidations count="3">
    <dataValidation type="list" allowBlank="1" showInputMessage="1" showErrorMessage="1" sqref="M1:Q1" xr:uid="{61AB9B9E-215A-45B5-8084-52DCF8EBE7D6}">
      <formula1>Months</formula1>
    </dataValidation>
    <dataValidation type="custom" allowBlank="1" showInputMessage="1" showErrorMessage="1" sqref="AF8:AF18 AG7:AG18 C7:AE18" xr:uid="{DD5096AB-1600-47FF-87EC-71B975C0E448}">
      <formula1>C$6&lt;&gt;""</formula1>
    </dataValidation>
    <dataValidation type="custom" allowBlank="1" showInputMessage="1" showErrorMessage="1" errorTitle="Warning" error="Entry is not allowed" sqref="AF7" xr:uid="{F033F297-0F4C-4A40-A705-BA89514A0FA4}">
      <formula1>AF$6&lt;&gt;""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Helper</vt:lpstr>
      <vt:lpstr>Attendance</vt:lpstr>
      <vt:lpstr>Holiday</vt:lpstr>
      <vt:lpstr>Holidays</vt:lpstr>
      <vt:lpstr>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Soumodeep</dc:creator>
  <cp:lastModifiedBy>Soumodeep Dey</cp:lastModifiedBy>
  <dcterms:created xsi:type="dcterms:W3CDTF">2020-09-18T14:43:07Z</dcterms:created>
  <dcterms:modified xsi:type="dcterms:W3CDTF">2021-05-23T13:58:42Z</dcterms:modified>
</cp:coreProperties>
</file>